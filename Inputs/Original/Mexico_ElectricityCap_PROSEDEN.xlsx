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.shortcut-targets-by-id\1CWiPbqLa53GMwIlw6QXl5kVdUX6nm-Sa\North America Battery Retirements and Recycling Capacity Research\Data\"/>
    </mc:Choice>
  </mc:AlternateContent>
  <xr:revisionPtr revIDLastSave="0" documentId="13_ncr:1_{1700E2D1-E912-4AAB-B652-3748FB1F7F22}" xr6:coauthVersionLast="47" xr6:coauthVersionMax="47" xr10:uidLastSave="{00000000-0000-0000-0000-000000000000}"/>
  <bookViews>
    <workbookView xWindow="-120" yWindow="-120" windowWidth="29040" windowHeight="15720" xr2:uid="{6665C32B-21C7-4C60-805E-5C3F7BBB6705}"/>
  </bookViews>
  <sheets>
    <sheet name="Forecast" sheetId="1" r:id="rId1"/>
    <sheet name="Historic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" i="1" l="1"/>
  <c r="Y6" i="1"/>
  <c r="Z6" i="1"/>
  <c r="AA6" i="1"/>
  <c r="AB6" i="1"/>
  <c r="AC6" i="1"/>
  <c r="AD6" i="1"/>
  <c r="AE6" i="1"/>
  <c r="AF6" i="1"/>
  <c r="AG6" i="1"/>
  <c r="X7" i="1"/>
  <c r="Y7" i="1"/>
  <c r="Z7" i="1"/>
  <c r="AA7" i="1"/>
  <c r="AB7" i="1"/>
  <c r="AC7" i="1"/>
  <c r="AD7" i="1"/>
  <c r="AE7" i="1"/>
  <c r="AF7" i="1"/>
  <c r="AG7" i="1"/>
  <c r="W7" i="1"/>
  <c r="W6" i="1"/>
  <c r="Y5" i="1"/>
  <c r="Z5" i="1" s="1"/>
  <c r="AA5" i="1" s="1"/>
  <c r="AB5" i="1" s="1"/>
  <c r="AC5" i="1" s="1"/>
  <c r="AD5" i="1" s="1"/>
  <c r="AE5" i="1" s="1"/>
  <c r="AF5" i="1" s="1"/>
  <c r="AG5" i="1" s="1"/>
  <c r="X5" i="1"/>
  <c r="H7" i="1"/>
  <c r="H6" i="1"/>
  <c r="F4" i="2"/>
  <c r="G4" i="2" s="1"/>
  <c r="H4" i="2" s="1"/>
  <c r="I4" i="2" s="1"/>
  <c r="J4" i="2" s="1"/>
  <c r="K4" i="2" s="1"/>
  <c r="L4" i="2" s="1"/>
  <c r="M4" i="2" s="1"/>
  <c r="N4" i="2" s="1"/>
  <c r="O4" i="2" s="1"/>
  <c r="I6" i="1"/>
  <c r="V6" i="1"/>
  <c r="U6" i="1"/>
  <c r="T6" i="1"/>
  <c r="S6" i="1"/>
  <c r="R6" i="1"/>
  <c r="Q6" i="1"/>
  <c r="P6" i="1"/>
  <c r="O6" i="1"/>
  <c r="N6" i="1"/>
  <c r="V7" i="1"/>
  <c r="U7" i="1"/>
  <c r="N7" i="1"/>
  <c r="O7" i="1"/>
  <c r="P7" i="1"/>
  <c r="Q7" i="1"/>
  <c r="R7" i="1"/>
  <c r="S7" i="1"/>
  <c r="T7" i="1"/>
  <c r="M7" i="1"/>
  <c r="M6" i="1"/>
  <c r="L7" i="1"/>
  <c r="L6" i="1"/>
  <c r="K7" i="1"/>
  <c r="K6" i="1"/>
  <c r="J7" i="1"/>
  <c r="J6" i="1"/>
  <c r="I7" i="1"/>
  <c r="J5" i="1"/>
  <c r="K5" i="1"/>
  <c r="L5" i="1"/>
  <c r="M5" i="1"/>
  <c r="N5" i="1"/>
  <c r="O5" i="1"/>
  <c r="P5" i="1"/>
  <c r="Q5" i="1"/>
  <c r="R5" i="1"/>
  <c r="S5" i="1"/>
  <c r="T5" i="1"/>
  <c r="U5" i="1"/>
  <c r="V5" i="1"/>
  <c r="I5" i="1"/>
  <c r="W12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13" i="1"/>
  <c r="I48" i="1"/>
  <c r="J48" i="1"/>
  <c r="K48" i="1"/>
  <c r="L48" i="1"/>
  <c r="M48" i="1"/>
  <c r="N48" i="1"/>
  <c r="O48" i="1"/>
  <c r="P48" i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H48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10" i="1"/>
  <c r="G45" i="1"/>
  <c r="G44" i="1" s="1"/>
  <c r="G43" i="1" s="1"/>
  <c r="G42" i="1" s="1"/>
  <c r="G41" i="1" s="1"/>
  <c r="G40" i="1" s="1"/>
  <c r="G39" i="1" s="1"/>
  <c r="G38" i="1" s="1"/>
  <c r="G37" i="1" s="1"/>
  <c r="G36" i="1" s="1"/>
  <c r="G35" i="1" s="1"/>
  <c r="G34" i="1" s="1"/>
  <c r="G33" i="1" s="1"/>
  <c r="G32" i="1" s="1"/>
  <c r="G31" i="1" s="1"/>
  <c r="G30" i="1" s="1"/>
  <c r="G29" i="1" s="1"/>
  <c r="G28" i="1" s="1"/>
  <c r="G27" i="1" s="1"/>
  <c r="G26" i="1" s="1"/>
  <c r="G25" i="1" s="1"/>
  <c r="G24" i="1" s="1"/>
  <c r="G23" i="1" s="1"/>
  <c r="G22" i="1" s="1"/>
  <c r="G21" i="1" s="1"/>
  <c r="G20" i="1" s="1"/>
  <c r="G19" i="1" s="1"/>
  <c r="G18" i="1" s="1"/>
  <c r="G17" i="1" s="1"/>
  <c r="G16" i="1" s="1"/>
  <c r="G15" i="1" s="1"/>
  <c r="G14" i="1" s="1"/>
  <c r="G13" i="1" s="1"/>
  <c r="G12" i="1" s="1"/>
  <c r="G11" i="1" s="1"/>
  <c r="G10" i="1" s="1"/>
</calcChain>
</file>

<file path=xl/sharedStrings.xml><?xml version="1.0" encoding="utf-8"?>
<sst xmlns="http://schemas.openxmlformats.org/spreadsheetml/2006/main" count="23" uniqueCount="13">
  <si>
    <t>Fuente</t>
  </si>
  <si>
    <t>https://www.cenace.gob.mx/Docs/16_MARCOREGULATORIO/Prodecen/20%202024-2038%20Cap%C3%ADtulos%201%20al%206.pdf</t>
  </si>
  <si>
    <t>https://energia.conahcyt.mx/planeas/electricidad/capacidad-generacion</t>
  </si>
  <si>
    <t>Solar</t>
  </si>
  <si>
    <t>Wind</t>
  </si>
  <si>
    <t>MW</t>
  </si>
  <si>
    <t>Idea: put figure at scale in grid box</t>
  </si>
  <si>
    <t>FIGURA 4.3 EVOLUCIÓN ESPERADA DE LA CAPACIDAD INSTALADA ACUMULADA POR TECNOLOGÍA, 2024-2038 (MW)</t>
  </si>
  <si>
    <t>Type</t>
  </si>
  <si>
    <t>Capacidad instalada por tecnología (MW)</t>
  </si>
  <si>
    <t>pg 91</t>
  </si>
  <si>
    <t>2023 data</t>
  </si>
  <si>
    <t>HISTORICAL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</si>
</sst>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3.5"/>
      <color rgb="FF1414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0" fontId="3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390524</xdr:colOff>
      <xdr:row>9</xdr:row>
      <xdr:rowOff>28574</xdr:rowOff>
    </xdr:from>
    <xdr:to>
      <xdr:col>26</xdr:col>
      <xdr:colOff>193304</xdr:colOff>
      <xdr:row>46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B0F249-20B7-F129-00D3-164B64580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50000"/>
        </a:blip>
        <a:stretch>
          <a:fillRect/>
        </a:stretch>
      </xdr:blipFill>
      <xdr:spPr>
        <a:xfrm>
          <a:off x="2828924" y="1743074"/>
          <a:ext cx="15566655" cy="72009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12</xdr:row>
      <xdr:rowOff>0</xdr:rowOff>
    </xdr:from>
    <xdr:to>
      <xdr:col>26</xdr:col>
      <xdr:colOff>182787</xdr:colOff>
      <xdr:row>51</xdr:row>
      <xdr:rowOff>134406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5BEAD5-B89A-245A-F54D-FEEC9AE6F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2314575"/>
          <a:ext cx="12984387" cy="756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nergia.conahcyt.mx/planeas/electricidad/capacidad-generacion" TargetMode="External"/><Relationship Id="rId1" Type="http://schemas.openxmlformats.org/officeDocument/2006/relationships/hyperlink" Target="https://www.cenace.gob.mx/Docs/16_MARCOREGULATORIO/Prodecen/20%202024-2038%20Cap%C3%ADtulos%201%20al%206.pdf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726E-8940-49A6-A1AB-CFA86ABDEE6A}">
  <dimension ref="A1:AG48"/>
  <sheetViews>
    <sheetView tabSelected="1" topLeftCell="I2" workbookViewId="0">
      <selection activeCell="AC6" sqref="AC6"/>
    </sheetView>
  </sheetViews>
  <sheetFormatPr defaultRowHeight="15" x14ac:dyDescent="0.25"/>
  <cols>
    <col min="6" max="6" width="10.140625" bestFit="1" customWidth="1"/>
    <col min="7" max="22" width="11.28515625" customWidth="1"/>
  </cols>
  <sheetData>
    <row r="1" spans="1:33" x14ac:dyDescent="0.25">
      <c r="A1" t="s">
        <v>0</v>
      </c>
      <c r="B1" s="4" t="s">
        <v>1</v>
      </c>
    </row>
    <row r="2" spans="1:33" x14ac:dyDescent="0.25">
      <c r="A2" t="s">
        <v>7</v>
      </c>
      <c r="K2" t="s">
        <v>10</v>
      </c>
    </row>
    <row r="3" spans="1:33" x14ac:dyDescent="0.25">
      <c r="A3" t="s">
        <v>11</v>
      </c>
      <c r="B3" s="4" t="s">
        <v>2</v>
      </c>
    </row>
    <row r="4" spans="1:33" x14ac:dyDescent="0.25">
      <c r="A4" t="s">
        <v>3</v>
      </c>
      <c r="B4">
        <v>7211</v>
      </c>
      <c r="C4" t="s">
        <v>5</v>
      </c>
      <c r="W4" t="s">
        <v>12</v>
      </c>
    </row>
    <row r="5" spans="1:33" x14ac:dyDescent="0.25">
      <c r="A5" t="s">
        <v>4</v>
      </c>
      <c r="B5">
        <v>7462</v>
      </c>
      <c r="C5" t="s">
        <v>5</v>
      </c>
      <c r="G5" t="s">
        <v>8</v>
      </c>
      <c r="H5" s="1">
        <v>2024</v>
      </c>
      <c r="I5" s="1">
        <f>+H5+1</f>
        <v>2025</v>
      </c>
      <c r="J5" s="1">
        <f t="shared" ref="J5:V5" si="0">+I5+1</f>
        <v>2026</v>
      </c>
      <c r="K5" s="1">
        <f t="shared" si="0"/>
        <v>2027</v>
      </c>
      <c r="L5" s="1">
        <f t="shared" si="0"/>
        <v>2028</v>
      </c>
      <c r="M5" s="1">
        <f t="shared" si="0"/>
        <v>2029</v>
      </c>
      <c r="N5" s="1">
        <f t="shared" si="0"/>
        <v>2030</v>
      </c>
      <c r="O5" s="1">
        <f t="shared" si="0"/>
        <v>2031</v>
      </c>
      <c r="P5" s="1">
        <f t="shared" si="0"/>
        <v>2032</v>
      </c>
      <c r="Q5" s="1">
        <f t="shared" si="0"/>
        <v>2033</v>
      </c>
      <c r="R5" s="1">
        <f t="shared" si="0"/>
        <v>2034</v>
      </c>
      <c r="S5" s="1">
        <f t="shared" si="0"/>
        <v>2035</v>
      </c>
      <c r="T5" s="1">
        <f t="shared" si="0"/>
        <v>2036</v>
      </c>
      <c r="U5" s="1">
        <f t="shared" si="0"/>
        <v>2037</v>
      </c>
      <c r="V5" s="1">
        <f t="shared" si="0"/>
        <v>2038</v>
      </c>
      <c r="W5" s="1">
        <v>2013</v>
      </c>
      <c r="X5" s="1">
        <f>+W5+1</f>
        <v>2014</v>
      </c>
      <c r="Y5" s="1">
        <f t="shared" ref="Y5:AG5" si="1">+X5+1</f>
        <v>2015</v>
      </c>
      <c r="Z5" s="1">
        <f t="shared" si="1"/>
        <v>2016</v>
      </c>
      <c r="AA5" s="1">
        <f t="shared" si="1"/>
        <v>2017</v>
      </c>
      <c r="AB5" s="1">
        <f t="shared" si="1"/>
        <v>2018</v>
      </c>
      <c r="AC5" s="1">
        <f t="shared" si="1"/>
        <v>2019</v>
      </c>
      <c r="AD5" s="1">
        <f t="shared" si="1"/>
        <v>2020</v>
      </c>
      <c r="AE5" s="1">
        <f t="shared" si="1"/>
        <v>2021</v>
      </c>
      <c r="AF5" s="1">
        <f t="shared" si="1"/>
        <v>2022</v>
      </c>
      <c r="AG5" s="1">
        <f t="shared" si="1"/>
        <v>2023</v>
      </c>
    </row>
    <row r="6" spans="1:33" x14ac:dyDescent="0.25">
      <c r="F6" t="s">
        <v>5</v>
      </c>
      <c r="G6" t="s">
        <v>4</v>
      </c>
      <c r="H6" s="2">
        <f>+(H29-H30)*1000</f>
        <v>7500</v>
      </c>
      <c r="I6" s="2">
        <f>+(I28-I30)*1000</f>
        <v>8500</v>
      </c>
      <c r="J6" s="2">
        <f>+(J28-J29)*1000</f>
        <v>9000</v>
      </c>
      <c r="K6" s="2">
        <f>+(K27-K29)*1000</f>
        <v>12000</v>
      </c>
      <c r="L6" s="2">
        <f>+(L26-L28)*1000</f>
        <v>15000</v>
      </c>
      <c r="M6" s="2">
        <f>+(M25-M27)*1000</f>
        <v>17000</v>
      </c>
      <c r="N6" s="2">
        <f>+(N25-N27)*1000</f>
        <v>18000</v>
      </c>
      <c r="O6" s="2">
        <f>+(O24-O27)*1000</f>
        <v>21000</v>
      </c>
      <c r="P6" s="2">
        <f>+(P23-P27)*1000</f>
        <v>22000</v>
      </c>
      <c r="Q6" s="2">
        <f>+(Q23-Q27)*1000</f>
        <v>23000</v>
      </c>
      <c r="R6" s="2">
        <f>+(R23-R27)*1000</f>
        <v>24000</v>
      </c>
      <c r="S6" s="2">
        <f>+(S22-S26)*1000</f>
        <v>26000</v>
      </c>
      <c r="T6" s="2">
        <f>+(T21-T26)*1000</f>
        <v>29000</v>
      </c>
      <c r="U6" s="2">
        <f>+(U20-U26)*1000</f>
        <v>30000</v>
      </c>
      <c r="V6" s="2">
        <f>+(V20-V26)*1000</f>
        <v>33000</v>
      </c>
      <c r="W6" s="2">
        <f>+Historical!E5</f>
        <v>1959</v>
      </c>
      <c r="X6" s="2">
        <f>+Historical!F5</f>
        <v>2655</v>
      </c>
      <c r="Y6" s="2">
        <f>+Historical!G5</f>
        <v>3233</v>
      </c>
      <c r="Z6" s="2">
        <f>+Historical!H5</f>
        <v>4009</v>
      </c>
      <c r="AA6" s="2">
        <f>+Historical!I5</f>
        <v>4474</v>
      </c>
      <c r="AB6" s="2">
        <f>+Historical!J5</f>
        <v>4677</v>
      </c>
      <c r="AC6" s="2">
        <f>+Historical!K5</f>
        <v>5970</v>
      </c>
      <c r="AD6" s="2">
        <f>+Historical!L5</f>
        <v>6654</v>
      </c>
      <c r="AE6" s="2">
        <f>+Historical!M5</f>
        <v>7354</v>
      </c>
      <c r="AF6" s="2">
        <f>+Historical!N5</f>
        <v>7354</v>
      </c>
      <c r="AG6" s="2">
        <f>+Historical!O5</f>
        <v>7462</v>
      </c>
    </row>
    <row r="7" spans="1:33" x14ac:dyDescent="0.25">
      <c r="G7" t="s">
        <v>3</v>
      </c>
      <c r="H7" s="2">
        <f>+(H33-H34)*1000</f>
        <v>8000</v>
      </c>
      <c r="I7" s="2">
        <f>+(I32-I33)*1000</f>
        <v>8500</v>
      </c>
      <c r="J7" s="2">
        <f>+(J31-J33)*1000</f>
        <v>11000</v>
      </c>
      <c r="K7" s="2">
        <f>+(K31-K33)*1000</f>
        <v>12000</v>
      </c>
      <c r="L7" s="2">
        <f>+(L30-L33)*1000</f>
        <v>14000</v>
      </c>
      <c r="M7" s="2">
        <f>+(M30-M33)*1000</f>
        <v>13000</v>
      </c>
      <c r="N7" s="2">
        <f t="shared" ref="N7:T7" si="2">+(N30-N33)*1000</f>
        <v>13000</v>
      </c>
      <c r="O7" s="2">
        <f t="shared" si="2"/>
        <v>13000</v>
      </c>
      <c r="P7" s="2">
        <f t="shared" si="2"/>
        <v>14000</v>
      </c>
      <c r="Q7" s="2">
        <f t="shared" si="2"/>
        <v>15000</v>
      </c>
      <c r="R7" s="2">
        <f t="shared" si="2"/>
        <v>15000</v>
      </c>
      <c r="S7" s="2">
        <f t="shared" si="2"/>
        <v>17000</v>
      </c>
      <c r="T7" s="2">
        <f t="shared" si="2"/>
        <v>17000</v>
      </c>
      <c r="U7" s="2">
        <f>+(U29-U33)*1000</f>
        <v>18000</v>
      </c>
      <c r="V7" s="2">
        <f>+(V29-V33)*1000</f>
        <v>19000</v>
      </c>
      <c r="W7" s="2">
        <f>+Historical!E6</f>
        <v>33</v>
      </c>
      <c r="X7" s="2">
        <f>+Historical!F6</f>
        <v>100</v>
      </c>
      <c r="Y7" s="2">
        <f>+Historical!G6</f>
        <v>149</v>
      </c>
      <c r="Z7" s="2">
        <f>+Historical!H6</f>
        <v>189</v>
      </c>
      <c r="AA7" s="2">
        <f>+Historical!I6</f>
        <v>275</v>
      </c>
      <c r="AB7" s="2">
        <f>+Historical!J6</f>
        <v>231</v>
      </c>
      <c r="AC7" s="2">
        <f>+Historical!K6</f>
        <v>4478</v>
      </c>
      <c r="AD7" s="2">
        <f>+Historical!L6</f>
        <v>6132</v>
      </c>
      <c r="AE7" s="2">
        <f>+Historical!M6</f>
        <v>6689</v>
      </c>
      <c r="AF7" s="2">
        <f>+Historical!N6</f>
        <v>7209</v>
      </c>
      <c r="AG7" s="2">
        <f>+Historical!O6</f>
        <v>7211</v>
      </c>
    </row>
    <row r="9" spans="1:33" x14ac:dyDescent="0.25">
      <c r="F9" t="s">
        <v>6</v>
      </c>
    </row>
    <row r="10" spans="1:33" x14ac:dyDescent="0.25">
      <c r="F10" s="2">
        <f>5000*G10</f>
        <v>180000</v>
      </c>
      <c r="G10">
        <f t="shared" ref="G10:G45" si="3">+G11+1</f>
        <v>36</v>
      </c>
    </row>
    <row r="11" spans="1:33" x14ac:dyDescent="0.25">
      <c r="F11" s="2">
        <f t="shared" ref="F11:F45" si="4">5000*G11</f>
        <v>175000</v>
      </c>
      <c r="G11">
        <f t="shared" si="3"/>
        <v>35</v>
      </c>
    </row>
    <row r="12" spans="1:33" x14ac:dyDescent="0.25">
      <c r="F12" s="2">
        <f t="shared" si="4"/>
        <v>170000</v>
      </c>
      <c r="G12">
        <f t="shared" si="3"/>
        <v>34</v>
      </c>
      <c r="W12" s="2">
        <f>+F12</f>
        <v>170000</v>
      </c>
    </row>
    <row r="13" spans="1:33" x14ac:dyDescent="0.25">
      <c r="F13" s="2">
        <f t="shared" si="4"/>
        <v>165000</v>
      </c>
      <c r="G13">
        <f t="shared" si="3"/>
        <v>33</v>
      </c>
      <c r="W13" s="2">
        <f>+F13</f>
        <v>165000</v>
      </c>
    </row>
    <row r="14" spans="1:33" x14ac:dyDescent="0.25">
      <c r="F14" s="2">
        <f t="shared" si="4"/>
        <v>160000</v>
      </c>
      <c r="G14">
        <f t="shared" si="3"/>
        <v>32</v>
      </c>
      <c r="W14" s="2">
        <f t="shared" ref="W14:W45" si="5">+F14</f>
        <v>160000</v>
      </c>
    </row>
    <row r="15" spans="1:33" x14ac:dyDescent="0.25">
      <c r="F15" s="2">
        <f t="shared" si="4"/>
        <v>155000</v>
      </c>
      <c r="G15">
        <f t="shared" si="3"/>
        <v>31</v>
      </c>
      <c r="W15" s="2">
        <f t="shared" si="5"/>
        <v>155000</v>
      </c>
    </row>
    <row r="16" spans="1:33" x14ac:dyDescent="0.25">
      <c r="F16" s="2">
        <f t="shared" si="4"/>
        <v>150000</v>
      </c>
      <c r="G16">
        <f t="shared" si="3"/>
        <v>30</v>
      </c>
      <c r="W16" s="2">
        <f t="shared" si="5"/>
        <v>150000</v>
      </c>
    </row>
    <row r="17" spans="6:23" x14ac:dyDescent="0.25">
      <c r="F17" s="2">
        <f t="shared" si="4"/>
        <v>145000</v>
      </c>
      <c r="G17">
        <f t="shared" si="3"/>
        <v>29</v>
      </c>
      <c r="W17" s="2">
        <f t="shared" si="5"/>
        <v>145000</v>
      </c>
    </row>
    <row r="18" spans="6:23" x14ac:dyDescent="0.25">
      <c r="F18" s="2">
        <f t="shared" si="4"/>
        <v>140000</v>
      </c>
      <c r="G18">
        <f t="shared" si="3"/>
        <v>28</v>
      </c>
      <c r="W18" s="2">
        <f t="shared" si="5"/>
        <v>140000</v>
      </c>
    </row>
    <row r="19" spans="6:23" x14ac:dyDescent="0.25">
      <c r="F19" s="2">
        <f t="shared" si="4"/>
        <v>135000</v>
      </c>
      <c r="G19">
        <f t="shared" si="3"/>
        <v>27</v>
      </c>
      <c r="W19" s="2">
        <f t="shared" si="5"/>
        <v>135000</v>
      </c>
    </row>
    <row r="20" spans="6:23" x14ac:dyDescent="0.25">
      <c r="F20" s="2">
        <f t="shared" si="4"/>
        <v>130000</v>
      </c>
      <c r="G20">
        <f t="shared" si="3"/>
        <v>26</v>
      </c>
      <c r="U20">
        <v>126</v>
      </c>
      <c r="V20">
        <v>130</v>
      </c>
      <c r="W20" s="2">
        <f t="shared" si="5"/>
        <v>130000</v>
      </c>
    </row>
    <row r="21" spans="6:23" x14ac:dyDescent="0.25">
      <c r="F21" s="2">
        <f t="shared" si="4"/>
        <v>125000</v>
      </c>
      <c r="G21">
        <f t="shared" si="3"/>
        <v>25</v>
      </c>
      <c r="T21">
        <v>123</v>
      </c>
      <c r="W21" s="2">
        <f t="shared" si="5"/>
        <v>125000</v>
      </c>
    </row>
    <row r="22" spans="6:23" x14ac:dyDescent="0.25">
      <c r="F22" s="2">
        <f t="shared" si="4"/>
        <v>120000</v>
      </c>
      <c r="G22">
        <f t="shared" si="3"/>
        <v>24</v>
      </c>
      <c r="S22">
        <v>120</v>
      </c>
      <c r="W22" s="2">
        <f t="shared" si="5"/>
        <v>120000</v>
      </c>
    </row>
    <row r="23" spans="6:23" x14ac:dyDescent="0.25">
      <c r="F23" s="2">
        <f t="shared" si="4"/>
        <v>115000</v>
      </c>
      <c r="G23">
        <f t="shared" si="3"/>
        <v>23</v>
      </c>
      <c r="P23">
        <v>112</v>
      </c>
      <c r="Q23">
        <v>113</v>
      </c>
      <c r="R23">
        <v>115</v>
      </c>
      <c r="W23" s="2">
        <f t="shared" si="5"/>
        <v>115000</v>
      </c>
    </row>
    <row r="24" spans="6:23" x14ac:dyDescent="0.25">
      <c r="F24" s="2">
        <f t="shared" si="4"/>
        <v>110000</v>
      </c>
      <c r="G24">
        <f t="shared" si="3"/>
        <v>22</v>
      </c>
      <c r="O24">
        <v>110</v>
      </c>
      <c r="W24" s="2">
        <f t="shared" si="5"/>
        <v>110000</v>
      </c>
    </row>
    <row r="25" spans="6:23" x14ac:dyDescent="0.25">
      <c r="F25" s="2">
        <f t="shared" si="4"/>
        <v>105000</v>
      </c>
      <c r="G25">
        <f t="shared" si="3"/>
        <v>21</v>
      </c>
      <c r="M25">
        <v>103</v>
      </c>
      <c r="N25">
        <v>105</v>
      </c>
      <c r="W25" s="2">
        <f t="shared" si="5"/>
        <v>105000</v>
      </c>
    </row>
    <row r="26" spans="6:23" x14ac:dyDescent="0.25">
      <c r="F26" s="2">
        <f t="shared" si="4"/>
        <v>100000</v>
      </c>
      <c r="G26">
        <f t="shared" si="3"/>
        <v>20</v>
      </c>
      <c r="L26">
        <v>100</v>
      </c>
      <c r="S26">
        <v>94</v>
      </c>
      <c r="T26">
        <v>94</v>
      </c>
      <c r="U26">
        <v>96</v>
      </c>
      <c r="V26">
        <v>97</v>
      </c>
      <c r="W26" s="2">
        <f t="shared" si="5"/>
        <v>100000</v>
      </c>
    </row>
    <row r="27" spans="6:23" x14ac:dyDescent="0.25">
      <c r="F27" s="2">
        <f t="shared" si="4"/>
        <v>95000</v>
      </c>
      <c r="G27">
        <f t="shared" si="3"/>
        <v>19</v>
      </c>
      <c r="K27">
        <v>95</v>
      </c>
      <c r="M27">
        <v>86</v>
      </c>
      <c r="N27">
        <v>87</v>
      </c>
      <c r="O27">
        <v>89</v>
      </c>
      <c r="P27">
        <v>90</v>
      </c>
      <c r="Q27">
        <v>90</v>
      </c>
      <c r="R27">
        <v>91</v>
      </c>
      <c r="W27" s="2">
        <f t="shared" si="5"/>
        <v>95000</v>
      </c>
    </row>
    <row r="28" spans="6:23" x14ac:dyDescent="0.25">
      <c r="F28" s="2">
        <f t="shared" si="4"/>
        <v>90000</v>
      </c>
      <c r="G28">
        <f t="shared" si="3"/>
        <v>18</v>
      </c>
      <c r="I28">
        <v>86.5</v>
      </c>
      <c r="J28">
        <v>90</v>
      </c>
      <c r="L28">
        <v>85</v>
      </c>
      <c r="W28" s="2">
        <f t="shared" si="5"/>
        <v>90000</v>
      </c>
    </row>
    <row r="29" spans="6:23" x14ac:dyDescent="0.25">
      <c r="F29" s="2">
        <f t="shared" si="4"/>
        <v>85000</v>
      </c>
      <c r="G29">
        <f t="shared" si="3"/>
        <v>17</v>
      </c>
      <c r="H29">
        <v>82.5</v>
      </c>
      <c r="J29">
        <v>81</v>
      </c>
      <c r="K29">
        <v>83</v>
      </c>
      <c r="U29">
        <v>80</v>
      </c>
      <c r="V29">
        <v>81</v>
      </c>
      <c r="W29" s="2">
        <f t="shared" si="5"/>
        <v>85000</v>
      </c>
    </row>
    <row r="30" spans="6:23" x14ac:dyDescent="0.25">
      <c r="F30" s="2">
        <f t="shared" si="4"/>
        <v>80000</v>
      </c>
      <c r="G30">
        <f t="shared" si="3"/>
        <v>16</v>
      </c>
      <c r="H30">
        <v>75</v>
      </c>
      <c r="I30">
        <v>78</v>
      </c>
      <c r="L30">
        <v>72</v>
      </c>
      <c r="M30">
        <v>72</v>
      </c>
      <c r="N30">
        <v>73</v>
      </c>
      <c r="O30">
        <v>73</v>
      </c>
      <c r="P30">
        <v>74</v>
      </c>
      <c r="Q30">
        <v>75</v>
      </c>
      <c r="R30">
        <v>75</v>
      </c>
      <c r="S30">
        <v>78</v>
      </c>
      <c r="T30">
        <v>78</v>
      </c>
      <c r="W30" s="2">
        <f t="shared" si="5"/>
        <v>80000</v>
      </c>
    </row>
    <row r="31" spans="6:23" x14ac:dyDescent="0.25">
      <c r="F31" s="2">
        <f t="shared" si="4"/>
        <v>75000</v>
      </c>
      <c r="G31">
        <f t="shared" si="3"/>
        <v>15</v>
      </c>
      <c r="J31">
        <v>69</v>
      </c>
      <c r="K31">
        <v>70</v>
      </c>
      <c r="W31" s="2">
        <f t="shared" si="5"/>
        <v>75000</v>
      </c>
    </row>
    <row r="32" spans="6:23" x14ac:dyDescent="0.25">
      <c r="F32" s="2">
        <f t="shared" si="4"/>
        <v>70000</v>
      </c>
      <c r="G32">
        <f t="shared" si="3"/>
        <v>14</v>
      </c>
      <c r="I32">
        <v>66.5</v>
      </c>
      <c r="W32" s="2">
        <f t="shared" si="5"/>
        <v>70000</v>
      </c>
    </row>
    <row r="33" spans="6:26" x14ac:dyDescent="0.25">
      <c r="F33" s="2">
        <f t="shared" si="4"/>
        <v>65000</v>
      </c>
      <c r="G33">
        <f t="shared" si="3"/>
        <v>13</v>
      </c>
      <c r="H33">
        <v>63</v>
      </c>
      <c r="I33">
        <v>58</v>
      </c>
      <c r="J33">
        <v>58</v>
      </c>
      <c r="K33">
        <v>58</v>
      </c>
      <c r="L33">
        <v>58</v>
      </c>
      <c r="M33">
        <v>59</v>
      </c>
      <c r="N33">
        <v>60</v>
      </c>
      <c r="O33">
        <v>60</v>
      </c>
      <c r="P33">
        <v>60</v>
      </c>
      <c r="Q33">
        <v>60</v>
      </c>
      <c r="R33">
        <v>60</v>
      </c>
      <c r="S33">
        <v>61</v>
      </c>
      <c r="T33">
        <v>61</v>
      </c>
      <c r="U33">
        <v>62</v>
      </c>
      <c r="V33">
        <v>62</v>
      </c>
      <c r="W33" s="2">
        <f t="shared" si="5"/>
        <v>65000</v>
      </c>
    </row>
    <row r="34" spans="6:26" x14ac:dyDescent="0.25">
      <c r="F34" s="2">
        <f t="shared" si="4"/>
        <v>60000</v>
      </c>
      <c r="G34">
        <f t="shared" si="3"/>
        <v>12</v>
      </c>
      <c r="H34">
        <v>55</v>
      </c>
      <c r="W34" s="2">
        <f t="shared" si="5"/>
        <v>60000</v>
      </c>
    </row>
    <row r="35" spans="6:26" x14ac:dyDescent="0.25">
      <c r="F35" s="2">
        <f t="shared" si="4"/>
        <v>55000</v>
      </c>
      <c r="G35">
        <f t="shared" si="3"/>
        <v>11</v>
      </c>
      <c r="W35" s="2">
        <f t="shared" si="5"/>
        <v>55000</v>
      </c>
    </row>
    <row r="36" spans="6:26" x14ac:dyDescent="0.25">
      <c r="F36" s="2">
        <f t="shared" si="4"/>
        <v>50000</v>
      </c>
      <c r="G36">
        <f t="shared" si="3"/>
        <v>10</v>
      </c>
      <c r="W36" s="2">
        <f t="shared" si="5"/>
        <v>50000</v>
      </c>
    </row>
    <row r="37" spans="6:26" x14ac:dyDescent="0.25">
      <c r="F37" s="2">
        <f t="shared" si="4"/>
        <v>45000</v>
      </c>
      <c r="G37">
        <f t="shared" si="3"/>
        <v>9</v>
      </c>
      <c r="W37" s="2">
        <f t="shared" si="5"/>
        <v>45000</v>
      </c>
    </row>
    <row r="38" spans="6:26" x14ac:dyDescent="0.25">
      <c r="F38" s="2">
        <f t="shared" si="4"/>
        <v>40000</v>
      </c>
      <c r="G38">
        <f t="shared" si="3"/>
        <v>8</v>
      </c>
      <c r="W38" s="2">
        <f t="shared" si="5"/>
        <v>40000</v>
      </c>
    </row>
    <row r="39" spans="6:26" x14ac:dyDescent="0.25">
      <c r="F39" s="2">
        <f t="shared" si="4"/>
        <v>35000</v>
      </c>
      <c r="G39">
        <f t="shared" si="3"/>
        <v>7</v>
      </c>
      <c r="W39" s="2">
        <f t="shared" si="5"/>
        <v>35000</v>
      </c>
    </row>
    <row r="40" spans="6:26" x14ac:dyDescent="0.25">
      <c r="F40" s="2">
        <f t="shared" si="4"/>
        <v>30000</v>
      </c>
      <c r="G40">
        <f t="shared" si="3"/>
        <v>6</v>
      </c>
      <c r="W40" s="2">
        <f t="shared" si="5"/>
        <v>30000</v>
      </c>
    </row>
    <row r="41" spans="6:26" x14ac:dyDescent="0.25">
      <c r="F41" s="2">
        <f t="shared" si="4"/>
        <v>25000</v>
      </c>
      <c r="G41">
        <f t="shared" si="3"/>
        <v>5</v>
      </c>
      <c r="W41" s="2">
        <f t="shared" si="5"/>
        <v>25000</v>
      </c>
    </row>
    <row r="42" spans="6:26" x14ac:dyDescent="0.25">
      <c r="F42" s="2">
        <f t="shared" si="4"/>
        <v>20000</v>
      </c>
      <c r="G42">
        <f t="shared" si="3"/>
        <v>4</v>
      </c>
      <c r="W42" s="2">
        <f t="shared" si="5"/>
        <v>20000</v>
      </c>
    </row>
    <row r="43" spans="6:26" x14ac:dyDescent="0.25">
      <c r="F43" s="2">
        <f t="shared" si="4"/>
        <v>15000</v>
      </c>
      <c r="G43">
        <f t="shared" si="3"/>
        <v>3</v>
      </c>
      <c r="W43" s="2">
        <f t="shared" si="5"/>
        <v>15000</v>
      </c>
    </row>
    <row r="44" spans="6:26" x14ac:dyDescent="0.25">
      <c r="F44" s="2">
        <f t="shared" si="4"/>
        <v>10000</v>
      </c>
      <c r="G44">
        <f t="shared" si="3"/>
        <v>2</v>
      </c>
      <c r="W44" s="2">
        <f t="shared" si="5"/>
        <v>10000</v>
      </c>
    </row>
    <row r="45" spans="6:26" x14ac:dyDescent="0.25">
      <c r="F45" s="2">
        <f t="shared" si="4"/>
        <v>5000</v>
      </c>
      <c r="G45">
        <f t="shared" si="3"/>
        <v>1</v>
      </c>
      <c r="W45" s="2">
        <f t="shared" si="5"/>
        <v>5000</v>
      </c>
    </row>
    <row r="48" spans="6:26" x14ac:dyDescent="0.25">
      <c r="G48">
        <v>2023</v>
      </c>
      <c r="H48">
        <f>+G48+1</f>
        <v>2024</v>
      </c>
      <c r="I48">
        <f t="shared" ref="I48:Z48" si="6">+H48+1</f>
        <v>2025</v>
      </c>
      <c r="J48">
        <f t="shared" si="6"/>
        <v>2026</v>
      </c>
      <c r="K48">
        <f t="shared" si="6"/>
        <v>2027</v>
      </c>
      <c r="L48">
        <f t="shared" si="6"/>
        <v>2028</v>
      </c>
      <c r="M48">
        <f t="shared" si="6"/>
        <v>2029</v>
      </c>
      <c r="N48">
        <f t="shared" si="6"/>
        <v>2030</v>
      </c>
      <c r="O48">
        <f t="shared" si="6"/>
        <v>2031</v>
      </c>
      <c r="P48">
        <f t="shared" si="6"/>
        <v>2032</v>
      </c>
      <c r="Q48">
        <f t="shared" si="6"/>
        <v>2033</v>
      </c>
      <c r="R48">
        <f t="shared" si="6"/>
        <v>2034</v>
      </c>
      <c r="S48">
        <f t="shared" si="6"/>
        <v>2035</v>
      </c>
      <c r="T48">
        <f t="shared" si="6"/>
        <v>2036</v>
      </c>
      <c r="U48">
        <f t="shared" si="6"/>
        <v>2037</v>
      </c>
      <c r="V48">
        <f t="shared" si="6"/>
        <v>2038</v>
      </c>
      <c r="W48">
        <f t="shared" si="6"/>
        <v>2039</v>
      </c>
      <c r="X48">
        <f t="shared" si="6"/>
        <v>2040</v>
      </c>
      <c r="Y48">
        <f t="shared" si="6"/>
        <v>2041</v>
      </c>
      <c r="Z48">
        <f t="shared" si="6"/>
        <v>2042</v>
      </c>
    </row>
  </sheetData>
  <hyperlinks>
    <hyperlink ref="B1" r:id="rId1" xr:uid="{5CF8F9ED-72A4-4313-BFE3-1A5C0E3B8D22}"/>
    <hyperlink ref="B3" r:id="rId2" xr:uid="{4ADA3D42-D09B-453A-8244-6B827D968A1D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C6CA-F664-4226-B618-778A573F83B6}">
  <dimension ref="A1:S6"/>
  <sheetViews>
    <sheetView workbookViewId="0">
      <selection activeCell="D8" sqref="D8"/>
    </sheetView>
  </sheetViews>
  <sheetFormatPr defaultRowHeight="15" x14ac:dyDescent="0.25"/>
  <sheetData>
    <row r="1" spans="1:19" x14ac:dyDescent="0.25">
      <c r="A1" t="s">
        <v>0</v>
      </c>
      <c r="B1" t="s">
        <v>2</v>
      </c>
    </row>
    <row r="2" spans="1:19" ht="17.25" x14ac:dyDescent="0.25">
      <c r="B2" s="3" t="s">
        <v>9</v>
      </c>
    </row>
    <row r="3" spans="1:19" x14ac:dyDescent="0.25">
      <c r="B3" s="1"/>
    </row>
    <row r="4" spans="1:19" x14ac:dyDescent="0.25">
      <c r="D4" t="s">
        <v>8</v>
      </c>
      <c r="E4" s="1">
        <v>2013</v>
      </c>
      <c r="F4" s="1">
        <f>+E4+1</f>
        <v>2014</v>
      </c>
      <c r="G4" s="1">
        <f t="shared" ref="G4:S4" si="0">+F4+1</f>
        <v>2015</v>
      </c>
      <c r="H4" s="1">
        <f t="shared" si="0"/>
        <v>2016</v>
      </c>
      <c r="I4" s="1">
        <f t="shared" si="0"/>
        <v>2017</v>
      </c>
      <c r="J4" s="1">
        <f t="shared" si="0"/>
        <v>2018</v>
      </c>
      <c r="K4" s="1">
        <f t="shared" si="0"/>
        <v>2019</v>
      </c>
      <c r="L4" s="1">
        <f t="shared" si="0"/>
        <v>2020</v>
      </c>
      <c r="M4" s="1">
        <f t="shared" si="0"/>
        <v>2021</v>
      </c>
      <c r="N4" s="1">
        <f t="shared" si="0"/>
        <v>2022</v>
      </c>
      <c r="O4" s="1">
        <f t="shared" si="0"/>
        <v>2023</v>
      </c>
      <c r="P4" s="1"/>
      <c r="Q4" s="1"/>
      <c r="R4" s="1"/>
      <c r="S4" s="1"/>
    </row>
    <row r="5" spans="1:19" x14ac:dyDescent="0.25">
      <c r="C5" t="s">
        <v>5</v>
      </c>
      <c r="D5" t="s">
        <v>4</v>
      </c>
      <c r="E5" s="2">
        <v>1959</v>
      </c>
      <c r="F5" s="2">
        <v>2655</v>
      </c>
      <c r="G5" s="2">
        <v>3233</v>
      </c>
      <c r="H5" s="2">
        <v>4009</v>
      </c>
      <c r="I5" s="2">
        <v>4474</v>
      </c>
      <c r="J5" s="2">
        <v>4677</v>
      </c>
      <c r="K5" s="2">
        <v>5970</v>
      </c>
      <c r="L5" s="2">
        <v>6654</v>
      </c>
      <c r="M5" s="2">
        <v>7354</v>
      </c>
      <c r="N5" s="2">
        <v>7354</v>
      </c>
      <c r="O5" s="2">
        <v>7462</v>
      </c>
      <c r="P5" s="2"/>
      <c r="Q5" s="2"/>
      <c r="R5" s="2"/>
      <c r="S5" s="2"/>
    </row>
    <row r="6" spans="1:19" x14ac:dyDescent="0.25">
      <c r="D6" t="s">
        <v>3</v>
      </c>
      <c r="E6" s="2">
        <v>33</v>
      </c>
      <c r="F6" s="2">
        <v>100</v>
      </c>
      <c r="G6" s="2">
        <v>149</v>
      </c>
      <c r="H6" s="2">
        <v>189</v>
      </c>
      <c r="I6" s="2">
        <v>275</v>
      </c>
      <c r="J6" s="2">
        <v>231</v>
      </c>
      <c r="K6" s="2">
        <v>4478</v>
      </c>
      <c r="L6" s="2">
        <v>6132</v>
      </c>
      <c r="M6" s="2">
        <v>6689</v>
      </c>
      <c r="N6" s="2">
        <v>7209</v>
      </c>
      <c r="O6" s="2">
        <v>7211</v>
      </c>
      <c r="P6" s="2"/>
      <c r="Q6" s="2"/>
      <c r="R6" s="2"/>
      <c r="S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</vt:lpstr>
      <vt:lpstr>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Busch</dc:creator>
  <cp:lastModifiedBy>Pablo Busch</cp:lastModifiedBy>
  <dcterms:created xsi:type="dcterms:W3CDTF">2025-07-22T19:19:29Z</dcterms:created>
  <dcterms:modified xsi:type="dcterms:W3CDTF">2025-07-28T16:44:11Z</dcterms:modified>
</cp:coreProperties>
</file>